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Cost per Answer" sheetId="3" state="visible" r:id="rId5"/>
    <sheet name="Scenarios" sheetId="4" state="visible" r:id="rId6"/>
    <sheet name="Monthly Pla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Assumed. Replace with the current rate from your bank or the CBN.</t>
        </r>
      </text>
    </comment>
    <comment ref="B5" authorId="0">
      <text>
        <r>
          <rPr>
            <sz val="10"/>
            <rFont val="Arial"/>
            <family val="2"/>
          </rPr>
          <t xml:space="preserve">Claude reasons before answering; that reasoning is billed as output. 30% is an estimate until measured.</t>
        </r>
      </text>
    </comment>
    <comment ref="B6" authorId="0">
      <text>
        <r>
          <rPr>
            <sz val="10"/>
            <rFont val="Arial"/>
            <family val="2"/>
          </rPr>
          <t xml:space="preserve">From PRD v2.0 launch gates: AI cost should not exceed 30% of what the student pays.</t>
        </r>
      </text>
    </comment>
    <comment ref="B7" authorId="0">
      <text>
        <r>
          <rPr>
            <sz val="10"/>
            <rFont val="Arial"/>
            <family val="2"/>
          </rPr>
          <t xml:space="preserve">Assumed typical Nigerian card fee (about 1.5%). Check your payment provider’s current rates and caps.</t>
        </r>
      </text>
    </comment>
    <comment ref="B11" authorId="0">
      <text>
        <r>
          <rPr>
            <sz val="10"/>
            <rFont val="Arial"/>
            <family val="2"/>
          </rPr>
          <t xml:space="preserve">Source: Anthropic API pricing, October 2026</t>
        </r>
      </text>
    </comment>
    <comment ref="B12" authorId="0">
      <text>
        <r>
          <rPr>
            <sz val="10"/>
            <rFont val="Arial"/>
            <family val="2"/>
          </rPr>
          <t xml:space="preserve">Source: Anthropic API pricing, October 2026</t>
        </r>
      </text>
    </comment>
    <comment ref="B13" authorId="0">
      <text>
        <r>
          <rPr>
            <sz val="10"/>
            <rFont val="Arial"/>
            <family val="2"/>
          </rPr>
          <t xml:space="preserve">Source: Anthropic API pricing, October 2026</t>
        </r>
      </text>
    </comment>
    <comment ref="B17" authorId="0">
      <text>
        <r>
          <rPr>
            <sz val="10"/>
            <rFont val="Arial"/>
            <family val="2"/>
          </rPr>
          <t xml:space="preserve">Estimate; to be replaced with measured averages from the pilot</t>
        </r>
      </text>
    </comment>
    <comment ref="B18" authorId="0">
      <text>
        <r>
          <rPr>
            <sz val="10"/>
            <rFont val="Arial"/>
            <family val="2"/>
          </rPr>
          <t xml:space="preserve">Estimate; to be replaced with measured averages from the pilot</t>
        </r>
      </text>
    </comment>
    <comment ref="B19" authorId="0">
      <text>
        <r>
          <rPr>
            <sz val="10"/>
            <rFont val="Arial"/>
            <family val="2"/>
          </rPr>
          <t xml:space="preserve">Estimate; to be replaced with measured averages from the pilot</t>
        </r>
      </text>
    </comment>
    <comment ref="B20" authorId="0">
      <text>
        <r>
          <rPr>
            <sz val="10"/>
            <rFont val="Arial"/>
            <family val="2"/>
          </rPr>
          <t xml:space="preserve">Estimate; to be replaced with measured averages from the pilot</t>
        </r>
      </text>
    </comment>
    <comment ref="B24" authorId="0">
      <text>
        <r>
          <rPr>
            <sz val="10"/>
            <rFont val="Arial"/>
            <family val="2"/>
          </rPr>
          <t xml:space="preserve">Approximate Pro plan price; check current pricing</t>
        </r>
      </text>
    </comment>
    <comment ref="B25" authorId="0">
      <text>
        <r>
          <rPr>
            <sz val="10"/>
            <rFont val="Arial"/>
            <family val="2"/>
          </rPr>
          <t xml:space="preserve">Approximate Pro plan price; check current pricing</t>
        </r>
      </text>
    </comment>
    <comment ref="B26" authorId="0">
      <text>
        <r>
          <rPr>
            <sz val="10"/>
            <rFont val="Arial"/>
            <family val="2"/>
          </rPr>
          <t xml:space="preserve">Allowance; processing the library is mostly a one-off cost of a few dollars</t>
        </r>
      </text>
    </comment>
    <comment ref="C11" authorId="0">
      <text>
        <r>
          <rPr>
            <sz val="10"/>
            <rFont val="Arial"/>
            <family val="2"/>
          </rPr>
          <t xml:space="preserve">Source: Anthropic API pricing, October 2026</t>
        </r>
      </text>
    </comment>
    <comment ref="C12" authorId="0">
      <text>
        <r>
          <rPr>
            <sz val="10"/>
            <rFont val="Arial"/>
            <family val="2"/>
          </rPr>
          <t xml:space="preserve">Source: Anthropic API pricing, October 2026</t>
        </r>
      </text>
    </comment>
    <comment ref="C13" authorId="0">
      <text>
        <r>
          <rPr>
            <sz val="10"/>
            <rFont val="Arial"/>
            <family val="2"/>
          </rPr>
          <t xml:space="preserve">Source: Anthropic API pricing, October 2026</t>
        </r>
      </text>
    </comment>
    <comment ref="C17" authorId="0">
      <text>
        <r>
          <rPr>
            <sz val="10"/>
            <rFont val="Arial"/>
            <family val="2"/>
          </rPr>
          <t xml:space="preserve">Estimate; to be replaced with measured averages from the pilot</t>
        </r>
      </text>
    </comment>
    <comment ref="C18" authorId="0">
      <text>
        <r>
          <rPr>
            <sz val="10"/>
            <rFont val="Arial"/>
            <family val="2"/>
          </rPr>
          <t xml:space="preserve">Estimate; to be replaced with measured averages from the pilot</t>
        </r>
      </text>
    </comment>
    <comment ref="C19" authorId="0">
      <text>
        <r>
          <rPr>
            <sz val="10"/>
            <rFont val="Arial"/>
            <family val="2"/>
          </rPr>
          <t xml:space="preserve">Estimate; to be replaced with measured averages from the pilot</t>
        </r>
      </text>
    </comment>
    <comment ref="C20" authorId="0">
      <text>
        <r>
          <rPr>
            <sz val="10"/>
            <rFont val="Arial"/>
            <family val="2"/>
          </rPr>
          <t xml:space="preserve">Estimate; to be replaced with measured averages from the pilot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A = Opus for everything, B = Mixed, C = Lean (see Scenarios)</t>
        </r>
      </text>
    </comment>
    <comment ref="B5" authorId="0">
      <text>
        <r>
          <rPr>
            <sz val="10"/>
            <rFont val="Arial"/>
            <family val="2"/>
          </rPr>
          <t xml:space="preserve">Example figure</t>
        </r>
      </text>
    </comment>
    <comment ref="B6" authorId="0">
      <text>
        <r>
          <rPr>
            <sz val="10"/>
            <rFont val="Arial"/>
            <family val="2"/>
          </rPr>
          <t xml:space="preserve">Example figure; the pilot will measure the real average</t>
        </r>
      </text>
    </comment>
    <comment ref="B7" authorId="0">
      <text>
        <r>
          <rPr>
            <sz val="10"/>
            <rFont val="Arial"/>
            <family val="2"/>
          </rPr>
          <t xml:space="preserve">Example price only; pricing is an open decision</t>
        </r>
      </text>
    </comment>
    <comment ref="B8" authorId="0">
      <text>
        <r>
          <rPr>
            <sz val="10"/>
            <rFont val="Arial"/>
            <family val="2"/>
          </rPr>
          <t xml:space="preserve">Example figure</t>
        </r>
      </text>
    </comment>
    <comment ref="B9" authorId="0">
      <text>
        <r>
          <rPr>
            <sz val="10"/>
            <rFont val="Arial"/>
            <family val="2"/>
          </rPr>
          <t xml:space="preserve">Example limit</t>
        </r>
      </text>
    </comment>
  </commentList>
</comments>
</file>

<file path=xl/sharedStrings.xml><?xml version="1.0" encoding="utf-8"?>
<sst xmlns="http://schemas.openxmlformats.org/spreadsheetml/2006/main" count="124" uniqueCount="101">
  <si>
    <t xml:space="preserve">Lawdeck AI Cost Model</t>
  </si>
  <si>
    <t xml:space="preserve">Purpose</t>
  </si>
  <si>
    <t xml:space="preserve">Estimates what Claude (Anthropic) costs Lawdeck per answer, per student per month, and for the business as a whole, so a price can be set.</t>
  </si>
  <si>
    <t xml:space="preserve">How to use</t>
  </si>
  <si>
    <t xml:space="preserve">Change only the blue numbers. Yellow cells are the key assumptions to check first. Everything else recalculates.</t>
  </si>
  <si>
    <t xml:space="preserve">Sheets</t>
  </si>
  <si>
    <t xml:space="preserve">Inputs: all assumptions. Cost per Answer: cost of one message for each task and model. Scenarios: three ways of assigning models to tasks. Monthly Plan: revenue, costs and profit for a chosen scenario.</t>
  </si>
  <si>
    <t xml:space="preserve">Key terms</t>
  </si>
  <si>
    <t xml:space="preserve">Token: a piece of a word; 1,000 tokens is about 750 words. Input tokens: what Claude reads (instructions, the question, library passages, recent chat). Output tokens: what Claude writes back. One message: one student question plus one Lawdeck reply.</t>
  </si>
  <si>
    <t xml:space="preserve">Colour code</t>
  </si>
  <si>
    <t xml:space="preserve">Blue text = input you may change. Black = formula. Green = taken from another sheet. Yellow fill = key assumption.</t>
  </si>
  <si>
    <t xml:space="preserve">Main caveats</t>
  </si>
  <si>
    <t xml:space="preserve">Token sizes and message volumes are estimates until the pilot measures real usage (Lawdeck logs the cost of every call). Exchange rate, hosting prices and payment fees change; update them before relying on totals.</t>
  </si>
  <si>
    <t xml:space="preserve">Price source</t>
  </si>
  <si>
    <t xml:space="preserve">Claude prices: Anthropic API price list as at October 2026 (Opus 5.5 $4/$20, Sonnet 5.5 $2/$10, Haiku 5.5 $0.10/$0.50 per million input/output tokens; Haiku price applies to prompts up to 100K tokens).</t>
  </si>
  <si>
    <t xml:space="preserve">Prepared</t>
  </si>
  <si>
    <t xml:space="preserve">20 October 2026, for internal planning. Not financial advice.</t>
  </si>
  <si>
    <t xml:space="preserve">Inputs and assumptions</t>
  </si>
  <si>
    <t xml:space="preserve">General</t>
  </si>
  <si>
    <t xml:space="preserve">Exchange rate (₦ per US$1)</t>
  </si>
  <si>
    <t xml:space="preserve">Extra output for Claude’s thinking (share of answer length)</t>
  </si>
  <si>
    <t xml:space="preserve">Target: AI cost as a share of the price</t>
  </si>
  <si>
    <t xml:space="preserve">Payment processing fee (share of each payment)</t>
  </si>
  <si>
    <t xml:space="preserve">Claude model prices (US$ per 1 million tokens)</t>
  </si>
  <si>
    <t xml:space="preserve">Model</t>
  </si>
  <si>
    <t xml:space="preserve">Input (reading)</t>
  </si>
  <si>
    <t xml:space="preserve">Output (writing)</t>
  </si>
  <si>
    <t xml:space="preserve">Use in Lawdeck</t>
  </si>
  <si>
    <t xml:space="preserve">Claude Opus 5.5</t>
  </si>
  <si>
    <t xml:space="preserve">Most capable; marking and documents</t>
  </si>
  <si>
    <t xml:space="preserve">Claude Sonnet 5.5</t>
  </si>
  <si>
    <t xml:space="preserve">Middle; everyday explanations if quality holds</t>
  </si>
  <si>
    <t xml:space="preserve">Claude Haiku 5.5</t>
  </si>
  <si>
    <t xml:space="preserve">Cheapest; small jobs, possibly explanations</t>
  </si>
  <si>
    <t xml:space="preserve">Task sizes (tokens per message) and monthly volume for a heavy user</t>
  </si>
  <si>
    <t xml:space="preserve">Task</t>
  </si>
  <si>
    <t xml:space="preserve">Input tokens</t>
  </si>
  <si>
    <t xml:space="preserve">Output tokens</t>
  </si>
  <si>
    <t xml:space="preserve">Messages per month (heavy user)</t>
  </si>
  <si>
    <t xml:space="preserve">What goes in</t>
  </si>
  <si>
    <t xml:space="preserve">Everyday explanation</t>
  </si>
  <si>
    <t xml:space="preserve">Instructions ~1,500 + question ~50 + library passages ~6,000 + recent chat ~500; answer ~1,100 words</t>
  </si>
  <si>
    <t xml:space="preserve">Marking a practice answer</t>
  </si>
  <si>
    <t xml:space="preserve">Instructions, rubric, the student’s answer and library passages; detailed feedback</t>
  </si>
  <si>
    <t xml:space="preserve">Producing a document</t>
  </si>
  <si>
    <t xml:space="preserve">Template, intake answers and instructions; a full document such as a writ or deed</t>
  </si>
  <si>
    <t xml:space="preserve">Small jobs (routing, flashcards, titles)</t>
  </si>
  <si>
    <t xml:space="preserve">Short instructions and a short reply</t>
  </si>
  <si>
    <t xml:space="preserve">Total messages per month (heavy user)</t>
  </si>
  <si>
    <t xml:space="preserve">Fixed monthly running costs (US$)</t>
  </si>
  <si>
    <t xml:space="preserve">Vercel (app hosting)</t>
  </si>
  <si>
    <t xml:space="preserve">Supabase (database, sign-in, files)</t>
  </si>
  <si>
    <t xml:space="preserve">Voyage AI (library search), monthly allowance</t>
  </si>
  <si>
    <t xml:space="preserve">Domain name (about $15 a year)</t>
  </si>
  <si>
    <t xml:space="preserve">Total fixed costs per month</t>
  </si>
  <si>
    <t xml:space="preserve">Cost of one message (one question and one reply)</t>
  </si>
  <si>
    <t xml:space="preserve">Formula: input tokens ÷ 1,000,000 × input price + output tokens × (1 + thinking share) ÷ 1,000,000 × output price</t>
  </si>
  <si>
    <t xml:space="preserve">US$ per message</t>
  </si>
  <si>
    <t xml:space="preserve">Naira per message</t>
  </si>
  <si>
    <t xml:space="preserve">Opus 5.5 (₦)</t>
  </si>
  <si>
    <t xml:space="preserve">Sonnet 5.5 (₦)</t>
  </si>
  <si>
    <t xml:space="preserve">Haiku 5.5 (₦)</t>
  </si>
  <si>
    <t xml:space="preserve">Three ways to assign Claude models to tasks (one heavy user, per month)</t>
  </si>
  <si>
    <t xml:space="preserve">Change the model names in blue to try other combinations. Costs follow automatically.</t>
  </si>
  <si>
    <t xml:space="preserve">A. Opus for everything</t>
  </si>
  <si>
    <t xml:space="preserve">B. Mixed</t>
  </si>
  <si>
    <t xml:space="preserve">C. Lean</t>
  </si>
  <si>
    <t xml:space="preserve">Messages per month</t>
  </si>
  <si>
    <t xml:space="preserve">Cost (US$)</t>
  </si>
  <si>
    <t xml:space="preserve">Cost per heavy user per month (US$)</t>
  </si>
  <si>
    <t xml:space="preserve">Cost per heavy user per month (₦)</t>
  </si>
  <si>
    <t xml:space="preserve">Average cost per message (US$)</t>
  </si>
  <si>
    <t xml:space="preserve">Price needed for AI to be the target share of price (₦ per month)</t>
  </si>
  <si>
    <t xml:space="preserve">Lighter users: cost scales with the number of messages</t>
  </si>
  <si>
    <t xml:space="preserve">A (₦)</t>
  </si>
  <si>
    <t xml:space="preserve">B (₦)</t>
  </si>
  <si>
    <t xml:space="preserve">C (₦)</t>
  </si>
  <si>
    <t xml:space="preserve">Assumes lighter users ask the same mix of tasks as the heavy user.</t>
  </si>
  <si>
    <t xml:space="preserve">Monthly business picture for one scenario</t>
  </si>
  <si>
    <t xml:space="preserve">Your inputs</t>
  </si>
  <si>
    <t xml:space="preserve">Scenario to use (A, B or C)</t>
  </si>
  <si>
    <t xml:space="preserve">C</t>
  </si>
  <si>
    <t xml:space="preserve">Paying students</t>
  </si>
  <si>
    <t xml:space="preserve">Average messages per paying student per month</t>
  </si>
  <si>
    <t xml:space="preserve">Price per paying student per month (₦)</t>
  </si>
  <si>
    <t xml:space="preserve">Free-tier users</t>
  </si>
  <si>
    <t xml:space="preserve">Messages per free user per month (free-tier limit)</t>
  </si>
  <si>
    <t xml:space="preserve">Results (per month)</t>
  </si>
  <si>
    <t xml:space="preserve">AI cost per message for the chosen scenario (US$)</t>
  </si>
  <si>
    <t xml:space="preserve">Revenue (₦)</t>
  </si>
  <si>
    <t xml:space="preserve">Payment processing fees (₦)</t>
  </si>
  <si>
    <t xml:space="preserve">AI cost: paying students (₦)</t>
  </si>
  <si>
    <t xml:space="preserve">AI cost: free-tier users (₦)</t>
  </si>
  <si>
    <t xml:space="preserve">Fixed running costs (₦)</t>
  </si>
  <si>
    <t xml:space="preserve">Total costs (₦)</t>
  </si>
  <si>
    <t xml:space="preserve">Profit or loss (₦)</t>
  </si>
  <si>
    <t xml:space="preserve">Profit margin</t>
  </si>
  <si>
    <t xml:space="preserve">AI cost as a share of revenue (target in Inputs)</t>
  </si>
  <si>
    <t xml:space="preserve">AI cost per paying student (₦)</t>
  </si>
  <si>
    <t xml:space="preserve">Paying students needed to break even</t>
  </si>
  <si>
    <t xml:space="preserve">Free-tier messages are costed at the chosen scenario’s average; limiting free users to the cheapest model would lower this.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</si>
</sst>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;\(0.0%\);\-"/>
    <numFmt numFmtId="167" formatCode="\$#,##0.00;&quot;($&quot;#,##0.00\);\-"/>
    <numFmt numFmtId="168" formatCode="#,##0;\(#,##0\);\-"/>
    <numFmt numFmtId="169" formatCode="\$#,##0.0000;&quot;($&quot;#,##0.0000\);\-"/>
    <numFmt numFmtId="170" formatCode="\₦#,##0;&quot;(₦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i val="true"/>
      <sz val="11"/>
      <color rgb="FF555555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EEF5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9999FF"/>
      <rgbColor rgb="FF993366"/>
      <rgbColor rgb="FFFFFFCC"/>
      <rgbColor rgb="FFE8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45" hidden="false" customHeight="true" outlineLevel="0" collapsed="false">
      <c r="A3" s="2" t="s">
        <v>1</v>
      </c>
      <c r="B3" s="3" t="s">
        <v>2</v>
      </c>
    </row>
    <row r="4" customFormat="false" ht="45" hidden="false" customHeight="true" outlineLevel="0" collapsed="false">
      <c r="A4" s="2" t="s">
        <v>3</v>
      </c>
      <c r="B4" s="3" t="s">
        <v>4</v>
      </c>
    </row>
    <row r="5" customFormat="false" ht="45" hidden="false" customHeight="true" outlineLevel="0" collapsed="false">
      <c r="A5" s="2" t="s">
        <v>5</v>
      </c>
      <c r="B5" s="3" t="s">
        <v>6</v>
      </c>
    </row>
    <row r="6" customFormat="false" ht="45" hidden="false" customHeight="true" outlineLevel="0" collapsed="false">
      <c r="A6" s="2" t="s">
        <v>7</v>
      </c>
      <c r="B6" s="3" t="s">
        <v>8</v>
      </c>
    </row>
    <row r="7" customFormat="false" ht="45" hidden="false" customHeight="true" outlineLevel="0" collapsed="false">
      <c r="A7" s="2" t="s">
        <v>9</v>
      </c>
      <c r="B7" s="3" t="s">
        <v>10</v>
      </c>
    </row>
    <row r="8" customFormat="false" ht="45" hidden="false" customHeight="true" outlineLevel="0" collapsed="false">
      <c r="A8" s="2" t="s">
        <v>11</v>
      </c>
      <c r="B8" s="3" t="s">
        <v>12</v>
      </c>
    </row>
    <row r="9" customFormat="false" ht="45" hidden="false" customHeight="true" outlineLevel="0" collapsed="false">
      <c r="A9" s="2" t="s">
        <v>13</v>
      </c>
      <c r="B9" s="3" t="s">
        <v>14</v>
      </c>
    </row>
    <row r="10" customFormat="false" ht="45" hidden="false" customHeight="true" outlineLevel="0" collapsed="false">
      <c r="A10" s="2" t="s">
        <v>15</v>
      </c>
      <c r="B1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17</v>
      </c>
    </row>
    <row r="3" customFormat="false" ht="15" hidden="false" customHeight="false" outlineLevel="0" collapsed="false">
      <c r="A3" s="4" t="s">
        <v>18</v>
      </c>
      <c r="B3" s="5"/>
      <c r="C3" s="5"/>
      <c r="D3" s="5"/>
      <c r="E3" s="5"/>
    </row>
    <row r="4" customFormat="false" ht="15" hidden="false" customHeight="false" outlineLevel="0" collapsed="false">
      <c r="A4" s="6" t="s">
        <v>19</v>
      </c>
      <c r="B4" s="7" t="n">
        <v>1500</v>
      </c>
    </row>
    <row r="5" customFormat="false" ht="15" hidden="false" customHeight="false" outlineLevel="0" collapsed="false">
      <c r="A5" s="6" t="s">
        <v>20</v>
      </c>
      <c r="B5" s="8" t="n">
        <v>0.3</v>
      </c>
    </row>
    <row r="6" customFormat="false" ht="15" hidden="false" customHeight="false" outlineLevel="0" collapsed="false">
      <c r="A6" s="6" t="s">
        <v>21</v>
      </c>
      <c r="B6" s="8" t="n">
        <v>0.3</v>
      </c>
    </row>
    <row r="7" customFormat="false" ht="15" hidden="false" customHeight="false" outlineLevel="0" collapsed="false">
      <c r="A7" s="6" t="s">
        <v>22</v>
      </c>
      <c r="B7" s="9" t="n">
        <v>0.015</v>
      </c>
    </row>
    <row r="9" customFormat="false" ht="15" hidden="false" customHeight="false" outlineLevel="0" collapsed="false">
      <c r="A9" s="4" t="s">
        <v>23</v>
      </c>
      <c r="B9" s="5"/>
      <c r="C9" s="5"/>
      <c r="D9" s="5"/>
      <c r="E9" s="5"/>
    </row>
    <row r="10" customFormat="false" ht="15" hidden="false" customHeight="false" outlineLevel="0" collapsed="false">
      <c r="A10" s="10" t="s">
        <v>24</v>
      </c>
      <c r="B10" s="10" t="s">
        <v>25</v>
      </c>
      <c r="C10" s="10" t="s">
        <v>26</v>
      </c>
      <c r="D10" s="10" t="s">
        <v>27</v>
      </c>
    </row>
    <row r="11" customFormat="false" ht="15" hidden="false" customHeight="false" outlineLevel="0" collapsed="false">
      <c r="A11" s="6" t="s">
        <v>28</v>
      </c>
      <c r="B11" s="11" t="n">
        <v>4</v>
      </c>
      <c r="C11" s="11" t="n">
        <v>20</v>
      </c>
      <c r="D11" s="6" t="s">
        <v>29</v>
      </c>
    </row>
    <row r="12" customFormat="false" ht="15" hidden="false" customHeight="false" outlineLevel="0" collapsed="false">
      <c r="A12" s="6" t="s">
        <v>30</v>
      </c>
      <c r="B12" s="11" t="n">
        <v>2</v>
      </c>
      <c r="C12" s="11" t="n">
        <v>10</v>
      </c>
      <c r="D12" s="6" t="s">
        <v>31</v>
      </c>
    </row>
    <row r="13" customFormat="false" ht="15" hidden="false" customHeight="false" outlineLevel="0" collapsed="false">
      <c r="A13" s="6" t="s">
        <v>32</v>
      </c>
      <c r="B13" s="11" t="n">
        <v>0.1</v>
      </c>
      <c r="C13" s="11" t="n">
        <v>0.5</v>
      </c>
      <c r="D13" s="6" t="s">
        <v>33</v>
      </c>
    </row>
    <row r="15" customFormat="false" ht="15" hidden="false" customHeight="false" outlineLevel="0" collapsed="false">
      <c r="A15" s="4" t="s">
        <v>34</v>
      </c>
      <c r="B15" s="5"/>
      <c r="C15" s="5"/>
      <c r="D15" s="5"/>
      <c r="E15" s="5"/>
    </row>
    <row r="16" customFormat="false" ht="31.5" hidden="false" customHeight="true" outlineLevel="0" collapsed="false">
      <c r="A16" s="10" t="s">
        <v>35</v>
      </c>
      <c r="B16" s="10" t="s">
        <v>36</v>
      </c>
      <c r="C16" s="10" t="s">
        <v>37</v>
      </c>
      <c r="D16" s="10" t="s">
        <v>38</v>
      </c>
      <c r="E16" s="10" t="s">
        <v>39</v>
      </c>
    </row>
    <row r="17" customFormat="false" ht="26.85" hidden="false" customHeight="false" outlineLevel="0" collapsed="false">
      <c r="A17" s="6" t="s">
        <v>40</v>
      </c>
      <c r="B17" s="12" t="n">
        <v>8000</v>
      </c>
      <c r="C17" s="12" t="n">
        <v>1500</v>
      </c>
      <c r="D17" s="13" t="n">
        <v>150</v>
      </c>
      <c r="E17" s="14" t="s">
        <v>41</v>
      </c>
    </row>
    <row r="18" customFormat="false" ht="26.85" hidden="false" customHeight="false" outlineLevel="0" collapsed="false">
      <c r="A18" s="6" t="s">
        <v>42</v>
      </c>
      <c r="B18" s="12" t="n">
        <v>10000</v>
      </c>
      <c r="C18" s="12" t="n">
        <v>2000</v>
      </c>
      <c r="D18" s="12" t="n">
        <v>30</v>
      </c>
      <c r="E18" s="14" t="s">
        <v>43</v>
      </c>
    </row>
    <row r="19" customFormat="false" ht="26.85" hidden="false" customHeight="false" outlineLevel="0" collapsed="false">
      <c r="A19" s="6" t="s">
        <v>44</v>
      </c>
      <c r="B19" s="12" t="n">
        <v>6000</v>
      </c>
      <c r="C19" s="12" t="n">
        <v>4000</v>
      </c>
      <c r="D19" s="12" t="n">
        <v>10</v>
      </c>
      <c r="E19" s="14" t="s">
        <v>45</v>
      </c>
    </row>
    <row r="20" customFormat="false" ht="15" hidden="false" customHeight="false" outlineLevel="0" collapsed="false">
      <c r="A20" s="6" t="s">
        <v>46</v>
      </c>
      <c r="B20" s="12" t="n">
        <v>1000</v>
      </c>
      <c r="C20" s="12" t="n">
        <v>200</v>
      </c>
      <c r="D20" s="12" t="n">
        <v>10</v>
      </c>
      <c r="E20" s="14" t="s">
        <v>47</v>
      </c>
    </row>
    <row r="21" customFormat="false" ht="15" hidden="false" customHeight="false" outlineLevel="0" collapsed="false">
      <c r="A21" s="15" t="s">
        <v>48</v>
      </c>
      <c r="D21" s="16" t="n">
        <f aca="false">SUM(D17:D20)</f>
        <v>200</v>
      </c>
    </row>
    <row r="23" customFormat="false" ht="15" hidden="false" customHeight="false" outlineLevel="0" collapsed="false">
      <c r="A23" s="4" t="s">
        <v>49</v>
      </c>
      <c r="B23" s="5"/>
      <c r="C23" s="5"/>
      <c r="D23" s="5"/>
      <c r="E23" s="5"/>
    </row>
    <row r="24" customFormat="false" ht="15" hidden="false" customHeight="false" outlineLevel="0" collapsed="false">
      <c r="A24" s="6" t="s">
        <v>50</v>
      </c>
      <c r="B24" s="11" t="n">
        <v>20</v>
      </c>
    </row>
    <row r="25" customFormat="false" ht="15" hidden="false" customHeight="false" outlineLevel="0" collapsed="false">
      <c r="A25" s="6" t="s">
        <v>51</v>
      </c>
      <c r="B25" s="11" t="n">
        <v>25</v>
      </c>
    </row>
    <row r="26" customFormat="false" ht="15" hidden="false" customHeight="false" outlineLevel="0" collapsed="false">
      <c r="A26" s="6" t="s">
        <v>52</v>
      </c>
      <c r="B26" s="11" t="n">
        <v>5</v>
      </c>
    </row>
    <row r="27" customFormat="false" ht="15" hidden="false" customHeight="false" outlineLevel="0" collapsed="false">
      <c r="A27" s="6" t="s">
        <v>53</v>
      </c>
      <c r="B27" s="17" t="n">
        <f aca="false">15/12</f>
        <v>1.25</v>
      </c>
    </row>
    <row r="28" customFormat="false" ht="15" hidden="false" customHeight="false" outlineLevel="0" collapsed="false">
      <c r="A28" s="15" t="s">
        <v>54</v>
      </c>
      <c r="B28" s="18" t="n">
        <f aca="false">SUM(B24:B27)</f>
        <v>51.25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19" t="s">
        <v>56</v>
      </c>
    </row>
    <row r="3" customFormat="false" ht="15" hidden="false" customHeight="false" outlineLevel="0" collapsed="false">
      <c r="B3" s="15" t="s">
        <v>57</v>
      </c>
      <c r="E3" s="15" t="s">
        <v>58</v>
      </c>
    </row>
    <row r="4" customFormat="false" ht="30" hidden="false" customHeight="true" outlineLevel="0" collapsed="false">
      <c r="A4" s="10" t="s">
        <v>35</v>
      </c>
      <c r="B4" s="10" t="s">
        <v>28</v>
      </c>
      <c r="C4" s="10" t="s">
        <v>30</v>
      </c>
      <c r="D4" s="10" t="s">
        <v>32</v>
      </c>
      <c r="E4" s="10" t="s">
        <v>59</v>
      </c>
      <c r="F4" s="10" t="s">
        <v>60</v>
      </c>
      <c r="G4" s="10" t="s">
        <v>61</v>
      </c>
    </row>
    <row r="5" customFormat="false" ht="15" hidden="false" customHeight="false" outlineLevel="0" collapsed="false">
      <c r="A5" s="20" t="str">
        <f aca="false">Inputs!A17</f>
        <v>Everyday explanation</v>
      </c>
      <c r="B5" s="21" t="n">
        <f aca="false">Inputs!$B$17/1000000*Inputs!$B$11+Inputs!$C$17*(1+Inputs!$B$5)/1000000*Inputs!$C$11</f>
        <v>0.071</v>
      </c>
      <c r="C5" s="21" t="n">
        <f aca="false">Inputs!$B$17/1000000*Inputs!$B$12+Inputs!$C$17*(1+Inputs!$B$5)/1000000*Inputs!$C$12</f>
        <v>0.0355</v>
      </c>
      <c r="D5" s="21" t="n">
        <f aca="false">Inputs!$B$17/1000000*Inputs!$B$13+Inputs!$C$17*(1+Inputs!$B$5)/1000000*Inputs!$C$13</f>
        <v>0.001775</v>
      </c>
      <c r="E5" s="22" t="n">
        <f aca="false">B5*Inputs!$B$4</f>
        <v>106.5</v>
      </c>
      <c r="F5" s="22" t="n">
        <f aca="false">C5*Inputs!$B$4</f>
        <v>53.25</v>
      </c>
      <c r="G5" s="22" t="n">
        <f aca="false">D5*Inputs!$B$4</f>
        <v>2.6625</v>
      </c>
    </row>
    <row r="6" customFormat="false" ht="15" hidden="false" customHeight="false" outlineLevel="0" collapsed="false">
      <c r="A6" s="20" t="str">
        <f aca="false">Inputs!A18</f>
        <v>Marking a practice answer</v>
      </c>
      <c r="B6" s="21" t="n">
        <f aca="false">Inputs!$B$18/1000000*Inputs!$B$11+Inputs!$C$18*(1+Inputs!$B$5)/1000000*Inputs!$C$11</f>
        <v>0.092</v>
      </c>
      <c r="C6" s="21" t="n">
        <f aca="false">Inputs!$B$18/1000000*Inputs!$B$12+Inputs!$C$18*(1+Inputs!$B$5)/1000000*Inputs!$C$12</f>
        <v>0.046</v>
      </c>
      <c r="D6" s="21" t="n">
        <f aca="false">Inputs!$B$18/1000000*Inputs!$B$13+Inputs!$C$18*(1+Inputs!$B$5)/1000000*Inputs!$C$13</f>
        <v>0.0023</v>
      </c>
      <c r="E6" s="22" t="n">
        <f aca="false">B6*Inputs!$B$4</f>
        <v>138</v>
      </c>
      <c r="F6" s="22" t="n">
        <f aca="false">C6*Inputs!$B$4</f>
        <v>69</v>
      </c>
      <c r="G6" s="22" t="n">
        <f aca="false">D6*Inputs!$B$4</f>
        <v>3.45</v>
      </c>
    </row>
    <row r="7" customFormat="false" ht="15" hidden="false" customHeight="false" outlineLevel="0" collapsed="false">
      <c r="A7" s="20" t="str">
        <f aca="false">Inputs!A19</f>
        <v>Producing a document</v>
      </c>
      <c r="B7" s="21" t="n">
        <f aca="false">Inputs!$B$19/1000000*Inputs!$B$11+Inputs!$C$19*(1+Inputs!$B$5)/1000000*Inputs!$C$11</f>
        <v>0.128</v>
      </c>
      <c r="C7" s="21" t="n">
        <f aca="false">Inputs!$B$19/1000000*Inputs!$B$12+Inputs!$C$19*(1+Inputs!$B$5)/1000000*Inputs!$C$12</f>
        <v>0.064</v>
      </c>
      <c r="D7" s="21" t="n">
        <f aca="false">Inputs!$B$19/1000000*Inputs!$B$13+Inputs!$C$19*(1+Inputs!$B$5)/1000000*Inputs!$C$13</f>
        <v>0.0032</v>
      </c>
      <c r="E7" s="22" t="n">
        <f aca="false">B7*Inputs!$B$4</f>
        <v>192</v>
      </c>
      <c r="F7" s="22" t="n">
        <f aca="false">C7*Inputs!$B$4</f>
        <v>96</v>
      </c>
      <c r="G7" s="22" t="n">
        <f aca="false">D7*Inputs!$B$4</f>
        <v>4.8</v>
      </c>
    </row>
    <row r="8" customFormat="false" ht="15" hidden="false" customHeight="false" outlineLevel="0" collapsed="false">
      <c r="A8" s="20" t="str">
        <f aca="false">Inputs!A20</f>
        <v>Small jobs (routing, flashcards, titles)</v>
      </c>
      <c r="B8" s="21" t="n">
        <f aca="false">Inputs!$B$20/1000000*Inputs!$B$11+Inputs!$C$20*(1+Inputs!$B$5)/1000000*Inputs!$C$11</f>
        <v>0.0092</v>
      </c>
      <c r="C8" s="21" t="n">
        <f aca="false">Inputs!$B$20/1000000*Inputs!$B$12+Inputs!$C$20*(1+Inputs!$B$5)/1000000*Inputs!$C$12</f>
        <v>0.0046</v>
      </c>
      <c r="D8" s="21" t="n">
        <f aca="false">Inputs!$B$20/1000000*Inputs!$B$13+Inputs!$C$20*(1+Inputs!$B$5)/1000000*Inputs!$C$13</f>
        <v>0.00023</v>
      </c>
      <c r="E8" s="22" t="n">
        <f aca="false">B8*Inputs!$B$4</f>
        <v>13.8</v>
      </c>
      <c r="F8" s="22" t="n">
        <f aca="false">C8*Inputs!$B$4</f>
        <v>6.9</v>
      </c>
      <c r="G8" s="22" t="n">
        <f aca="false">D8*Inputs!$B$4</f>
        <v>0.345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19" t="s">
        <v>63</v>
      </c>
    </row>
    <row r="3" customFormat="false" ht="15" hidden="false" customHeight="false" outlineLevel="0" collapsed="false">
      <c r="C3" s="15" t="s">
        <v>64</v>
      </c>
      <c r="E3" s="15" t="s">
        <v>65</v>
      </c>
      <c r="G3" s="15" t="s">
        <v>66</v>
      </c>
    </row>
    <row r="4" customFormat="false" ht="26.85" hidden="false" customHeight="false" outlineLevel="0" collapsed="false">
      <c r="A4" s="10" t="s">
        <v>35</v>
      </c>
      <c r="B4" s="10" t="s">
        <v>67</v>
      </c>
      <c r="C4" s="10" t="s">
        <v>24</v>
      </c>
      <c r="D4" s="10" t="s">
        <v>68</v>
      </c>
      <c r="E4" s="10" t="s">
        <v>24</v>
      </c>
      <c r="F4" s="10" t="s">
        <v>68</v>
      </c>
      <c r="G4" s="10" t="s">
        <v>24</v>
      </c>
      <c r="H4" s="10" t="s">
        <v>68</v>
      </c>
    </row>
    <row r="5" customFormat="false" ht="15" hidden="false" customHeight="false" outlineLevel="0" collapsed="false">
      <c r="A5" s="20" t="str">
        <f aca="false">Inputs!A17</f>
        <v>Everyday explanation</v>
      </c>
      <c r="B5" s="23" t="n">
        <f aca="false">Inputs!D17</f>
        <v>150</v>
      </c>
      <c r="C5" s="24" t="s">
        <v>28</v>
      </c>
      <c r="D5" s="17" t="n">
        <f aca="false">$B5*INDEX('Cost per Answer'!$B$5:$D$5,MATCH(C5,'Cost per Answer'!$B$4:$D$4,0))</f>
        <v>10.65</v>
      </c>
      <c r="E5" s="24" t="s">
        <v>30</v>
      </c>
      <c r="F5" s="17" t="n">
        <f aca="false">$B5*INDEX('Cost per Answer'!$B$5:$D$5,MATCH(E5,'Cost per Answer'!$B$4:$D$4,0))</f>
        <v>5.325</v>
      </c>
      <c r="G5" s="24" t="s">
        <v>32</v>
      </c>
      <c r="H5" s="17" t="n">
        <f aca="false">$B5*INDEX('Cost per Answer'!$B$5:$D$5,MATCH(G5,'Cost per Answer'!$B$4:$D$4,0))</f>
        <v>0.26625</v>
      </c>
    </row>
    <row r="6" customFormat="false" ht="15" hidden="false" customHeight="false" outlineLevel="0" collapsed="false">
      <c r="A6" s="20" t="str">
        <f aca="false">Inputs!A18</f>
        <v>Marking a practice answer</v>
      </c>
      <c r="B6" s="23" t="n">
        <f aca="false">Inputs!D18</f>
        <v>30</v>
      </c>
      <c r="C6" s="24" t="s">
        <v>28</v>
      </c>
      <c r="D6" s="17" t="n">
        <f aca="false">$B6*INDEX('Cost per Answer'!$B$6:$D$6,MATCH(C6,'Cost per Answer'!$B$4:$D$4,0))</f>
        <v>2.76</v>
      </c>
      <c r="E6" s="24" t="s">
        <v>28</v>
      </c>
      <c r="F6" s="17" t="n">
        <f aca="false">$B6*INDEX('Cost per Answer'!$B$6:$D$6,MATCH(E6,'Cost per Answer'!$B$4:$D$4,0))</f>
        <v>2.76</v>
      </c>
      <c r="G6" s="24" t="s">
        <v>30</v>
      </c>
      <c r="H6" s="17" t="n">
        <f aca="false">$B6*INDEX('Cost per Answer'!$B$6:$D$6,MATCH(G6,'Cost per Answer'!$B$4:$D$4,0))</f>
        <v>1.38</v>
      </c>
    </row>
    <row r="7" customFormat="false" ht="15" hidden="false" customHeight="false" outlineLevel="0" collapsed="false">
      <c r="A7" s="20" t="str">
        <f aca="false">Inputs!A19</f>
        <v>Producing a document</v>
      </c>
      <c r="B7" s="23" t="n">
        <f aca="false">Inputs!D19</f>
        <v>10</v>
      </c>
      <c r="C7" s="24" t="s">
        <v>28</v>
      </c>
      <c r="D7" s="17" t="n">
        <f aca="false">$B7*INDEX('Cost per Answer'!$B$7:$D$7,MATCH(C7,'Cost per Answer'!$B$4:$D$4,0))</f>
        <v>1.28</v>
      </c>
      <c r="E7" s="24" t="s">
        <v>28</v>
      </c>
      <c r="F7" s="17" t="n">
        <f aca="false">$B7*INDEX('Cost per Answer'!$B$7:$D$7,MATCH(E7,'Cost per Answer'!$B$4:$D$4,0))</f>
        <v>1.28</v>
      </c>
      <c r="G7" s="24" t="s">
        <v>28</v>
      </c>
      <c r="H7" s="17" t="n">
        <f aca="false">$B7*INDEX('Cost per Answer'!$B$7:$D$7,MATCH(G7,'Cost per Answer'!$B$4:$D$4,0))</f>
        <v>1.28</v>
      </c>
    </row>
    <row r="8" customFormat="false" ht="15" hidden="false" customHeight="false" outlineLevel="0" collapsed="false">
      <c r="A8" s="20" t="str">
        <f aca="false">Inputs!A20</f>
        <v>Small jobs (routing, flashcards, titles)</v>
      </c>
      <c r="B8" s="23" t="n">
        <f aca="false">Inputs!D20</f>
        <v>10</v>
      </c>
      <c r="C8" s="24" t="s">
        <v>28</v>
      </c>
      <c r="D8" s="17" t="n">
        <f aca="false">$B8*INDEX('Cost per Answer'!$B$8:$D$8,MATCH(C8,'Cost per Answer'!$B$4:$D$4,0))</f>
        <v>0.092</v>
      </c>
      <c r="E8" s="24" t="s">
        <v>32</v>
      </c>
      <c r="F8" s="17" t="n">
        <f aca="false">$B8*INDEX('Cost per Answer'!$B$8:$D$8,MATCH(E8,'Cost per Answer'!$B$4:$D$4,0))</f>
        <v>0.0023</v>
      </c>
      <c r="G8" s="24" t="s">
        <v>32</v>
      </c>
      <c r="H8" s="17" t="n">
        <f aca="false">$B8*INDEX('Cost per Answer'!$B$8:$D$8,MATCH(G8,'Cost per Answer'!$B$4:$D$4,0))</f>
        <v>0.0023</v>
      </c>
    </row>
    <row r="10" customFormat="false" ht="15" hidden="false" customHeight="false" outlineLevel="0" collapsed="false">
      <c r="A10" s="15" t="s">
        <v>69</v>
      </c>
      <c r="D10" s="18" t="n">
        <f aca="false">SUM(D5:D8)</f>
        <v>14.782</v>
      </c>
      <c r="F10" s="18" t="n">
        <f aca="false">SUM(F5:F8)</f>
        <v>9.3673</v>
      </c>
      <c r="H10" s="18" t="n">
        <f aca="false">SUM(H5:H8)</f>
        <v>2.92855</v>
      </c>
    </row>
    <row r="11" customFormat="false" ht="15" hidden="false" customHeight="false" outlineLevel="0" collapsed="false">
      <c r="A11" s="15" t="s">
        <v>70</v>
      </c>
      <c r="D11" s="25" t="n">
        <f aca="false">D10*Inputs!$B$4</f>
        <v>22173</v>
      </c>
      <c r="F11" s="25" t="n">
        <f aca="false">F10*Inputs!$B$4</f>
        <v>14050.95</v>
      </c>
      <c r="H11" s="25" t="n">
        <f aca="false">H10*Inputs!$B$4</f>
        <v>4392.825</v>
      </c>
    </row>
    <row r="12" customFormat="false" ht="15" hidden="false" customHeight="false" outlineLevel="0" collapsed="false">
      <c r="A12" s="15" t="s">
        <v>71</v>
      </c>
      <c r="D12" s="21" t="n">
        <f aca="false">IF(Inputs!$D$21=0,0,D10/Inputs!$D$21)</f>
        <v>0.07391</v>
      </c>
      <c r="F12" s="21" t="n">
        <f aca="false">IF(Inputs!$D$21=0,0,F10/Inputs!$D$21)</f>
        <v>0.0468365</v>
      </c>
      <c r="H12" s="21" t="n">
        <f aca="false">IF(Inputs!$D$21=0,0,H10/Inputs!$D$21)</f>
        <v>0.01464275</v>
      </c>
    </row>
    <row r="13" customFormat="false" ht="15" hidden="false" customHeight="false" outlineLevel="0" collapsed="false">
      <c r="A13" s="15" t="s">
        <v>72</v>
      </c>
      <c r="D13" s="25" t="n">
        <f aca="false">IF(Inputs!$B$6=0,0,D11/Inputs!$B$6)</f>
        <v>73910</v>
      </c>
      <c r="F13" s="25" t="n">
        <f aca="false">IF(Inputs!$B$6=0,0,F11/Inputs!$B$6)</f>
        <v>46836.5</v>
      </c>
      <c r="H13" s="25" t="n">
        <f aca="false">IF(Inputs!$B$6=0,0,H11/Inputs!$B$6)</f>
        <v>14642.75</v>
      </c>
    </row>
    <row r="15" customFormat="false" ht="15" hidden="false" customHeight="false" outlineLevel="0" collapsed="false">
      <c r="A15" s="15" t="s">
        <v>73</v>
      </c>
    </row>
    <row r="16" customFormat="false" ht="15" hidden="false" customHeight="false" outlineLevel="0" collapsed="false">
      <c r="A16" s="10" t="s">
        <v>67</v>
      </c>
      <c r="B16" s="10"/>
      <c r="C16" s="10"/>
      <c r="D16" s="10" t="s">
        <v>74</v>
      </c>
      <c r="E16" s="10"/>
      <c r="F16" s="10" t="s">
        <v>75</v>
      </c>
      <c r="G16" s="10"/>
      <c r="H16" s="10" t="s">
        <v>76</v>
      </c>
    </row>
    <row r="17" customFormat="false" ht="15" hidden="false" customHeight="false" outlineLevel="0" collapsed="false">
      <c r="A17" s="12" t="n">
        <v>20</v>
      </c>
      <c r="D17" s="22" t="n">
        <f aca="false">$A17*D$12*Inputs!$B$4</f>
        <v>2217.3</v>
      </c>
      <c r="F17" s="22" t="n">
        <f aca="false">$A17*F$12*Inputs!$B$4</f>
        <v>1405.095</v>
      </c>
      <c r="H17" s="22" t="n">
        <f aca="false">$A17*H$12*Inputs!$B$4</f>
        <v>439.2825</v>
      </c>
    </row>
    <row r="18" customFormat="false" ht="15" hidden="false" customHeight="false" outlineLevel="0" collapsed="false">
      <c r="A18" s="12" t="n">
        <v>60</v>
      </c>
      <c r="D18" s="22" t="n">
        <f aca="false">$A18*D$12*Inputs!$B$4</f>
        <v>6651.9</v>
      </c>
      <c r="F18" s="22" t="n">
        <f aca="false">$A18*F$12*Inputs!$B$4</f>
        <v>4215.285</v>
      </c>
      <c r="H18" s="22" t="n">
        <f aca="false">$A18*H$12*Inputs!$B$4</f>
        <v>1317.8475</v>
      </c>
    </row>
    <row r="19" customFormat="false" ht="15" hidden="false" customHeight="false" outlineLevel="0" collapsed="false">
      <c r="A19" s="12" t="n">
        <v>100</v>
      </c>
      <c r="D19" s="22" t="n">
        <f aca="false">$A19*D$12*Inputs!$B$4</f>
        <v>11086.5</v>
      </c>
      <c r="F19" s="22" t="n">
        <f aca="false">$A19*F$12*Inputs!$B$4</f>
        <v>7025.475</v>
      </c>
      <c r="H19" s="22" t="n">
        <f aca="false">$A19*H$12*Inputs!$B$4</f>
        <v>2196.4125</v>
      </c>
    </row>
    <row r="20" customFormat="false" ht="15" hidden="false" customHeight="false" outlineLevel="0" collapsed="false">
      <c r="A20" s="12" t="n">
        <v>200</v>
      </c>
      <c r="D20" s="22" t="n">
        <f aca="false">$A20*D$12*Inputs!$B$4</f>
        <v>22173</v>
      </c>
      <c r="F20" s="22" t="n">
        <f aca="false">$A20*F$12*Inputs!$B$4</f>
        <v>14050.95</v>
      </c>
      <c r="H20" s="22" t="n">
        <f aca="false">$A20*H$12*Inputs!$B$4</f>
        <v>4392.825</v>
      </c>
    </row>
    <row r="21" customFormat="false" ht="15" hidden="false" customHeight="false" outlineLevel="0" collapsed="false">
      <c r="A21" s="19" t="s">
        <v>77</v>
      </c>
    </row>
  </sheetData>
  <dataValidations count="1">
    <dataValidation allowBlank="false" errorStyle="stop" operator="between" showDropDown="false" showErrorMessage="false" showInputMessage="false" sqref="C5:C8 E5:E8 G5:G8" type="list">
      <formula1>"Claude Opus 5.5,Claude Sonnet 5.5,Claude Haiku 5.5"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78</v>
      </c>
    </row>
    <row r="3" customFormat="false" ht="15" hidden="false" customHeight="false" outlineLevel="0" collapsed="false">
      <c r="A3" s="4" t="s">
        <v>79</v>
      </c>
      <c r="B3" s="5"/>
      <c r="C3" s="5"/>
    </row>
    <row r="4" customFormat="false" ht="15" hidden="false" customHeight="false" outlineLevel="0" collapsed="false">
      <c r="A4" s="6" t="s">
        <v>80</v>
      </c>
      <c r="B4" s="26" t="s">
        <v>81</v>
      </c>
    </row>
    <row r="5" customFormat="false" ht="15" hidden="false" customHeight="false" outlineLevel="0" collapsed="false">
      <c r="A5" s="6" t="s">
        <v>82</v>
      </c>
      <c r="B5" s="13" t="n">
        <v>500</v>
      </c>
    </row>
    <row r="6" customFormat="false" ht="15" hidden="false" customHeight="false" outlineLevel="0" collapsed="false">
      <c r="A6" s="6" t="s">
        <v>83</v>
      </c>
      <c r="B6" s="13" t="n">
        <v>80</v>
      </c>
    </row>
    <row r="7" customFormat="false" ht="15" hidden="false" customHeight="false" outlineLevel="0" collapsed="false">
      <c r="A7" s="6" t="s">
        <v>84</v>
      </c>
      <c r="B7" s="27" t="n">
        <v>5000</v>
      </c>
    </row>
    <row r="8" customFormat="false" ht="15" hidden="false" customHeight="false" outlineLevel="0" collapsed="false">
      <c r="A8" s="6" t="s">
        <v>85</v>
      </c>
      <c r="B8" s="12" t="n">
        <v>1000</v>
      </c>
    </row>
    <row r="9" customFormat="false" ht="15" hidden="false" customHeight="false" outlineLevel="0" collapsed="false">
      <c r="A9" s="6" t="s">
        <v>86</v>
      </c>
      <c r="B9" s="12" t="n">
        <v>15</v>
      </c>
    </row>
    <row r="11" customFormat="false" ht="15" hidden="false" customHeight="false" outlineLevel="0" collapsed="false">
      <c r="A11" s="4" t="s">
        <v>87</v>
      </c>
      <c r="B11" s="5"/>
      <c r="C11" s="5"/>
    </row>
    <row r="12" customFormat="false" ht="15" hidden="false" customHeight="false" outlineLevel="0" collapsed="false">
      <c r="A12" s="6" t="s">
        <v>88</v>
      </c>
      <c r="B12" s="21" t="n">
        <f aca="false">IF(B4="A",Scenarios!D12,IF(B4="B",Scenarios!F12,Scenarios!H12))</f>
        <v>0.01464275</v>
      </c>
    </row>
    <row r="13" customFormat="false" ht="15" hidden="false" customHeight="false" outlineLevel="0" collapsed="false">
      <c r="A13" s="6" t="s">
        <v>89</v>
      </c>
      <c r="B13" s="22" t="n">
        <f aca="false">B5*B7</f>
        <v>2500000</v>
      </c>
    </row>
    <row r="14" customFormat="false" ht="15" hidden="false" customHeight="false" outlineLevel="0" collapsed="false">
      <c r="A14" s="6" t="s">
        <v>90</v>
      </c>
      <c r="B14" s="22" t="n">
        <f aca="false">B13*Inputs!B7</f>
        <v>37500</v>
      </c>
    </row>
    <row r="15" customFormat="false" ht="15" hidden="false" customHeight="false" outlineLevel="0" collapsed="false">
      <c r="A15" s="6" t="s">
        <v>91</v>
      </c>
      <c r="B15" s="22" t="n">
        <f aca="false">B5*B6*B12*Inputs!B4</f>
        <v>878565</v>
      </c>
    </row>
    <row r="16" customFormat="false" ht="15" hidden="false" customHeight="false" outlineLevel="0" collapsed="false">
      <c r="A16" s="6" t="s">
        <v>92</v>
      </c>
      <c r="B16" s="22" t="n">
        <f aca="false">B8*B9*B12*Inputs!B4</f>
        <v>329461.875</v>
      </c>
    </row>
    <row r="17" customFormat="false" ht="15" hidden="false" customHeight="false" outlineLevel="0" collapsed="false">
      <c r="A17" s="6" t="s">
        <v>93</v>
      </c>
      <c r="B17" s="22" t="n">
        <f aca="false">Inputs!B28*Inputs!B4</f>
        <v>76875</v>
      </c>
    </row>
    <row r="18" customFormat="false" ht="15" hidden="false" customHeight="false" outlineLevel="0" collapsed="false">
      <c r="A18" s="6" t="s">
        <v>94</v>
      </c>
      <c r="B18" s="22" t="n">
        <f aca="false">SUM(B14:B17)</f>
        <v>1322401.875</v>
      </c>
    </row>
    <row r="19" customFormat="false" ht="15" hidden="false" customHeight="false" outlineLevel="0" collapsed="false">
      <c r="A19" s="15" t="s">
        <v>95</v>
      </c>
      <c r="B19" s="25" t="n">
        <f aca="false">B13-B18</f>
        <v>1177598.125</v>
      </c>
    </row>
    <row r="20" customFormat="false" ht="15" hidden="false" customHeight="false" outlineLevel="0" collapsed="false">
      <c r="A20" s="6" t="s">
        <v>96</v>
      </c>
      <c r="B20" s="28" t="n">
        <f aca="false">IF(B13=0,0,B19/B13)</f>
        <v>0.47103925</v>
      </c>
    </row>
    <row r="21" customFormat="false" ht="15" hidden="false" customHeight="false" outlineLevel="0" collapsed="false">
      <c r="A21" s="6" t="s">
        <v>97</v>
      </c>
      <c r="B21" s="28" t="n">
        <f aca="false">IF(B13=0,0,(B15+B16)/B13)</f>
        <v>0.48321075</v>
      </c>
    </row>
    <row r="22" customFormat="false" ht="15" hidden="false" customHeight="false" outlineLevel="0" collapsed="false">
      <c r="A22" s="6" t="s">
        <v>98</v>
      </c>
      <c r="B22" s="22" t="n">
        <f aca="false">B6*B12*Inputs!B4</f>
        <v>1757.13</v>
      </c>
    </row>
    <row r="23" customFormat="false" ht="15" hidden="false" customHeight="false" outlineLevel="0" collapsed="false">
      <c r="A23" s="15" t="s">
        <v>99</v>
      </c>
      <c r="B23" s="16" t="n">
        <f aca="false">IF((B7*(1-Inputs!B7)-B22)&lt;=0,"Price too low",ROUNDUP((B17+B16)/(B7*(1-Inputs!B7)-B22),0))</f>
        <v>129</v>
      </c>
    </row>
    <row r="25" customFormat="false" ht="15" hidden="false" customHeight="false" outlineLevel="0" collapsed="false">
      <c r="A25" s="19" t="s">
        <v>100</v>
      </c>
    </row>
  </sheetData>
  <dataValidations count="1">
    <dataValidation allowBlank="false" errorStyle="stop" operator="between" showDropDown="false" showErrorMessage="false" showInputMessage="false" sqref="B4" type="list">
      <formula1>"A,B,C"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2026-10-20T14:31:03Z</dcterms:created>
  <dc:creator>openpyxl</dc:creator>
  <dc:description/>
  <dc:language>en-US</dc:language>
  <cp:lastModifiedBy/>
  <dcterms:modified xsi:type="dcterms:W3CDTF">2026-10-20T14:31:03Z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